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kevin\Documents\DataAnalytics\week-01\"/>
    </mc:Choice>
  </mc:AlternateContent>
  <xr:revisionPtr revIDLastSave="0" documentId="13_ncr:1_{70B190D1-DA44-48CD-BA61-5FCF464D6E78}" xr6:coauthVersionLast="47" xr6:coauthVersionMax="47" xr10:uidLastSave="{00000000-0000-0000-0000-000000000000}"/>
  <bookViews>
    <workbookView xWindow="-105" yWindow="0" windowWidth="21480" windowHeight="15585" activeTab="1" xr2:uid="{00000000-000D-0000-FFFF-FFFF00000000}"/>
  </bookViews>
  <sheets>
    <sheet name="Sheet2" sheetId="2" r:id="rId1"/>
    <sheet name="Sheet1" sheetId="1" r:id="rId2"/>
  </sheets>
  <definedNames>
    <definedName name="Slicer_Name">#N/A</definedName>
  </definedNames>
  <calcPr calcId="191029"/>
  <pivotCaches>
    <pivotCache cacheId="31"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 i="1" l="1"/>
  <c r="D6" i="1"/>
  <c r="D2" i="1"/>
  <c r="D3" i="1"/>
  <c r="D4" i="1"/>
  <c r="D5" i="1"/>
</calcChain>
</file>

<file path=xl/sharedStrings.xml><?xml version="1.0" encoding="utf-8"?>
<sst xmlns="http://schemas.openxmlformats.org/spreadsheetml/2006/main" count="72" uniqueCount="49">
  <si>
    <t>ID</t>
  </si>
  <si>
    <t>Start time</t>
  </si>
  <si>
    <t>Completion time</t>
  </si>
  <si>
    <t>Email</t>
  </si>
  <si>
    <t>Name</t>
  </si>
  <si>
    <t>Last modified time</t>
  </si>
  <si>
    <t>How often do you visit Chick-fil-A</t>
  </si>
  <si>
    <t>How much do you spend per visit?</t>
  </si>
  <si>
    <t>Which ordering do you use most often?</t>
  </si>
  <si>
    <t>Which is your favorite menu item?</t>
  </si>
  <si>
    <t>What type of rewards would motivate you to visit more often?</t>
  </si>
  <si>
    <t>How would you prefer to earn rewards?</t>
  </si>
  <si>
    <t>How appealing is a tiered loyalty program (Silver, Gold, Platinum)</t>
  </si>
  <si>
    <t>How satisfied are you with your overall experience?</t>
  </si>
  <si>
    <t>What is one thing we could do to improve your experience?</t>
  </si>
  <si>
    <t>bcarrillo-valencia@my.yearupunited.org</t>
  </si>
  <si>
    <t>brandon carrillo-valencia</t>
  </si>
  <si>
    <t>Monthly</t>
  </si>
  <si>
    <t>$10-$20</t>
  </si>
  <si>
    <t>Dine-in</t>
  </si>
  <si>
    <t>Chicken Sandwich</t>
  </si>
  <si>
    <t>Points toward future purchases</t>
  </si>
  <si>
    <t>Points per dollar spent</t>
  </si>
  <si>
    <t>Neutral</t>
  </si>
  <si>
    <t>Satisfied</t>
  </si>
  <si>
    <t>bathroom was dirty.</t>
  </si>
  <si>
    <t>dlomeli@my.yearupunited.org</t>
  </si>
  <si>
    <t>destiney lomeli</t>
  </si>
  <si>
    <t>$21-$30</t>
  </si>
  <si>
    <t>Drive-Thru</t>
  </si>
  <si>
    <t>Waffle Fries</t>
  </si>
  <si>
    <t>Free Menu items</t>
  </si>
  <si>
    <t>Very appealing</t>
  </si>
  <si>
    <t>nmiranda@my.yearupunited.org</t>
  </si>
  <si>
    <t>natalia miranda</t>
  </si>
  <si>
    <t>Daily</t>
  </si>
  <si>
    <t>Discounts</t>
  </si>
  <si>
    <t>Very satisfied</t>
  </si>
  <si>
    <t>jgoode@my.yearupunited.org</t>
  </si>
  <si>
    <t>jeremiah goode</t>
  </si>
  <si>
    <t>Over $30</t>
  </si>
  <si>
    <t>Nuggets</t>
  </si>
  <si>
    <t>Direct the traffic in the wait line better</t>
  </si>
  <si>
    <t>Time to complete</t>
  </si>
  <si>
    <t>Row Labels</t>
  </si>
  <si>
    <t>(blank)</t>
  </si>
  <si>
    <t>Grand Total</t>
  </si>
  <si>
    <t>Column Labels</t>
  </si>
  <si>
    <t>Count of Which is your favorite menu item?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</si>
</sst>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 h:mm:ss"/>
    <numFmt numFmtId="167" formatCode="mm/dd/yyyy\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64" fontId="0" fillId="0" borderId="0" xfId="0" applyNumberFormat="1"/>
    <xf numFmtId="0" fontId="0" fillId="0" borderId="0" xfId="0" applyNumberFormat="1"/>
    <xf numFmtId="167" fontId="0" fillId="0" borderId="0" xfId="0" applyNumberFormat="1"/>
    <xf numFmtId="45"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3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m/d/yy\ h:mm:ss"/>
    </dxf>
    <dxf>
      <numFmt numFmtId="0" formatCode="General"/>
    </dxf>
    <dxf>
      <numFmt numFmtId="0" formatCode="General"/>
    </dxf>
    <dxf>
      <numFmt numFmtId="28" formatCode="mm:ss"/>
    </dxf>
    <dxf>
      <numFmt numFmtId="167" formatCode="mm/dd/yyyy\ hh:mm:ss"/>
    </dxf>
    <dxf>
      <numFmt numFmtId="167" formatCode="mm/dd/yyyy\ hh:mm:ss"/>
    </dxf>
    <dxf>
      <numFmt numFmtId="0" formatCode="General"/>
    </dxf>
    <dxf>
      <numFmt numFmtId="28" formatCode="mm:ss"/>
    </dxf>
    <dxf>
      <numFmt numFmtId="167" formatCode="mm/dd/yyyy\ hh:mm:ss"/>
    </dxf>
    <dxf>
      <numFmt numFmtId="167" formatCode="mm/dd/yyyy\ hh:mm:ss"/>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m/d/yy\ h:mm:ss"/>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[Chick-Fil-aCustomer Satisfaction Survey(1-4).xlsx]Sheet2!PivotTable7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Sheet2!$B$3:$B$4</c:f>
              <c:strCache>
                <c:ptCount val="1"/>
                <c:pt idx="0">
                  <c:v>brandon carrillo-valencia</c:v>
                </c:pt>
              </c:strCache>
            </c:strRef>
          </c:tx>
          <c:spPr>
            <a:solidFill>
              <a:schemeClr val="accent1"/>
            </a:solidFill>
            <a:ln>
              <a:noFill/>
            </a:ln>
            <a:effectLst/>
          </c:spPr>
          <c:invertIfNegative val="0"/>
          <c:cat>
            <c:strRef>
              <c:f>Sheet2!$A$5:$A$9</c:f>
              <c:strCache>
                <c:ptCount val="4"/>
                <c:pt idx="0">
                  <c:v>Chicken Sandwich</c:v>
                </c:pt>
                <c:pt idx="1">
                  <c:v>Nuggets</c:v>
                </c:pt>
                <c:pt idx="2">
                  <c:v>Waffle Fries</c:v>
                </c:pt>
                <c:pt idx="3">
                  <c:v>(blank)</c:v>
                </c:pt>
              </c:strCache>
            </c:strRef>
          </c:cat>
          <c:val>
            <c:numRef>
              <c:f>Sheet2!$B$5:$B$9</c:f>
              <c:numCache>
                <c:formatCode>General</c:formatCode>
                <c:ptCount val="4"/>
                <c:pt idx="0">
                  <c:v>1</c:v>
                </c:pt>
              </c:numCache>
            </c:numRef>
          </c:val>
          <c:extLst>
            <c:ext xmlns:c16="http://schemas.microsoft.com/office/drawing/2014/chart" uri="{C3380CC4-5D6E-409C-BE32-E72D297353CC}">
              <c16:uniqueId val="{00000009-2C88-462D-BFAA-DE26EED69D87}"/>
            </c:ext>
          </c:extLst>
        </c:ser>
        <c:ser>
          <c:idx val="1"/>
          <c:order val="1"/>
          <c:tx>
            <c:strRef>
              <c:f>Sheet2!$C$3:$C$4</c:f>
              <c:strCache>
                <c:ptCount val="1"/>
                <c:pt idx="0">
                  <c:v>destiney lomeli</c:v>
                </c:pt>
              </c:strCache>
            </c:strRef>
          </c:tx>
          <c:spPr>
            <a:solidFill>
              <a:schemeClr val="accent2"/>
            </a:solidFill>
            <a:ln>
              <a:noFill/>
            </a:ln>
            <a:effectLst/>
          </c:spPr>
          <c:invertIfNegative val="0"/>
          <c:cat>
            <c:strRef>
              <c:f>Sheet2!$A$5:$A$9</c:f>
              <c:strCache>
                <c:ptCount val="4"/>
                <c:pt idx="0">
                  <c:v>Chicken Sandwich</c:v>
                </c:pt>
                <c:pt idx="1">
                  <c:v>Nuggets</c:v>
                </c:pt>
                <c:pt idx="2">
                  <c:v>Waffle Fries</c:v>
                </c:pt>
                <c:pt idx="3">
                  <c:v>(blank)</c:v>
                </c:pt>
              </c:strCache>
            </c:strRef>
          </c:cat>
          <c:val>
            <c:numRef>
              <c:f>Sheet2!$C$5:$C$9</c:f>
              <c:numCache>
                <c:formatCode>General</c:formatCode>
                <c:ptCount val="4"/>
                <c:pt idx="2">
                  <c:v>1</c:v>
                </c:pt>
              </c:numCache>
            </c:numRef>
          </c:val>
          <c:extLst>
            <c:ext xmlns:c16="http://schemas.microsoft.com/office/drawing/2014/chart" uri="{C3380CC4-5D6E-409C-BE32-E72D297353CC}">
              <c16:uniqueId val="{0000000E-2C88-462D-BFAA-DE26EED69D87}"/>
            </c:ext>
          </c:extLst>
        </c:ser>
        <c:ser>
          <c:idx val="2"/>
          <c:order val="2"/>
          <c:tx>
            <c:strRef>
              <c:f>Sheet2!$D$3:$D$4</c:f>
              <c:strCache>
                <c:ptCount val="1"/>
                <c:pt idx="0">
                  <c:v>jeremiah goode</c:v>
                </c:pt>
              </c:strCache>
            </c:strRef>
          </c:tx>
          <c:spPr>
            <a:solidFill>
              <a:schemeClr val="accent3"/>
            </a:solidFill>
            <a:ln>
              <a:noFill/>
            </a:ln>
            <a:effectLst/>
          </c:spPr>
          <c:invertIfNegative val="0"/>
          <c:cat>
            <c:strRef>
              <c:f>Sheet2!$A$5:$A$9</c:f>
              <c:strCache>
                <c:ptCount val="4"/>
                <c:pt idx="0">
                  <c:v>Chicken Sandwich</c:v>
                </c:pt>
                <c:pt idx="1">
                  <c:v>Nuggets</c:v>
                </c:pt>
                <c:pt idx="2">
                  <c:v>Waffle Fries</c:v>
                </c:pt>
                <c:pt idx="3">
                  <c:v>(blank)</c:v>
                </c:pt>
              </c:strCache>
            </c:strRef>
          </c:cat>
          <c:val>
            <c:numRef>
              <c:f>Sheet2!$D$5:$D$9</c:f>
              <c:numCache>
                <c:formatCode>General</c:formatCode>
                <c:ptCount val="4"/>
                <c:pt idx="1">
                  <c:v>1</c:v>
                </c:pt>
              </c:numCache>
            </c:numRef>
          </c:val>
          <c:extLst>
            <c:ext xmlns:c16="http://schemas.microsoft.com/office/drawing/2014/chart" uri="{C3380CC4-5D6E-409C-BE32-E72D297353CC}">
              <c16:uniqueId val="{0000000F-2C88-462D-BFAA-DE26EED69D87}"/>
            </c:ext>
          </c:extLst>
        </c:ser>
        <c:ser>
          <c:idx val="3"/>
          <c:order val="3"/>
          <c:tx>
            <c:strRef>
              <c:f>Sheet2!$E$3:$E$4</c:f>
              <c:strCache>
                <c:ptCount val="1"/>
                <c:pt idx="0">
                  <c:v>natalia miranda</c:v>
                </c:pt>
              </c:strCache>
            </c:strRef>
          </c:tx>
          <c:spPr>
            <a:solidFill>
              <a:schemeClr val="accent4"/>
            </a:solidFill>
            <a:ln>
              <a:noFill/>
            </a:ln>
            <a:effectLst/>
          </c:spPr>
          <c:invertIfNegative val="0"/>
          <c:cat>
            <c:strRef>
              <c:f>Sheet2!$A$5:$A$9</c:f>
              <c:strCache>
                <c:ptCount val="4"/>
                <c:pt idx="0">
                  <c:v>Chicken Sandwich</c:v>
                </c:pt>
                <c:pt idx="1">
                  <c:v>Nuggets</c:v>
                </c:pt>
                <c:pt idx="2">
                  <c:v>Waffle Fries</c:v>
                </c:pt>
                <c:pt idx="3">
                  <c:v>(blank)</c:v>
                </c:pt>
              </c:strCache>
            </c:strRef>
          </c:cat>
          <c:val>
            <c:numRef>
              <c:f>Sheet2!$E$5:$E$9</c:f>
              <c:numCache>
                <c:formatCode>General</c:formatCode>
                <c:ptCount val="4"/>
                <c:pt idx="2">
                  <c:v>1</c:v>
                </c:pt>
              </c:numCache>
            </c:numRef>
          </c:val>
          <c:extLst>
            <c:ext xmlns:c16="http://schemas.microsoft.com/office/drawing/2014/chart" uri="{C3380CC4-5D6E-409C-BE32-E72D297353CC}">
              <c16:uniqueId val="{00000010-2C88-462D-BFAA-DE26EED69D87}"/>
            </c:ext>
          </c:extLst>
        </c:ser>
        <c:ser>
          <c:idx val="4"/>
          <c:order val="4"/>
          <c:tx>
            <c:strRef>
              <c:f>Sheet2!$F$3:$F$4</c:f>
              <c:strCache>
                <c:ptCount val="1"/>
                <c:pt idx="0">
                  <c:v>(blank)</c:v>
                </c:pt>
              </c:strCache>
            </c:strRef>
          </c:tx>
          <c:spPr>
            <a:solidFill>
              <a:schemeClr val="accent5"/>
            </a:solidFill>
            <a:ln>
              <a:noFill/>
            </a:ln>
            <a:effectLst/>
          </c:spPr>
          <c:invertIfNegative val="0"/>
          <c:cat>
            <c:strRef>
              <c:f>Sheet2!$A$5:$A$9</c:f>
              <c:strCache>
                <c:ptCount val="4"/>
                <c:pt idx="0">
                  <c:v>Chicken Sandwich</c:v>
                </c:pt>
                <c:pt idx="1">
                  <c:v>Nuggets</c:v>
                </c:pt>
                <c:pt idx="2">
                  <c:v>Waffle Fries</c:v>
                </c:pt>
                <c:pt idx="3">
                  <c:v>(blank)</c:v>
                </c:pt>
              </c:strCache>
            </c:strRef>
          </c:cat>
          <c:val>
            <c:numRef>
              <c:f>Sheet2!$F$5:$F$9</c:f>
              <c:numCache>
                <c:formatCode>General</c:formatCode>
                <c:ptCount val="4"/>
              </c:numCache>
            </c:numRef>
          </c:val>
          <c:extLst>
            <c:ext xmlns:c16="http://schemas.microsoft.com/office/drawing/2014/chart" uri="{C3380CC4-5D6E-409C-BE32-E72D297353CC}">
              <c16:uniqueId val="{00000011-2C88-462D-BFAA-DE26EED69D87}"/>
            </c:ext>
          </c:extLst>
        </c:ser>
        <c:dLbls>
          <c:showLegendKey val="0"/>
          <c:showVal val="0"/>
          <c:showCatName val="0"/>
          <c:showSerName val="0"/>
          <c:showPercent val="0"/>
          <c:showBubbleSize val="0"/>
        </c:dLbls>
        <c:gapWidth val="219"/>
        <c:overlap val="-27"/>
        <c:axId val="2092183888"/>
        <c:axId val="2092182928"/>
      </c:barChart>
      <c:catAx>
        <c:axId val="2092183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2182928"/>
        <c:crosses val="autoZero"/>
        <c:auto val="1"/>
        <c:lblAlgn val="ctr"/>
        <c:lblOffset val="100"/>
        <c:noMultiLvlLbl val="0"/>
      </c:catAx>
      <c:valAx>
        <c:axId val="2092182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2183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1609725</xdr:colOff>
      <xdr:row>9</xdr:row>
      <xdr:rowOff>76200</xdr:rowOff>
    </xdr:from>
    <xdr:to>
      <xdr:col>4</xdr:col>
      <xdr:colOff>847725</xdr:colOff>
      <xdr:row>23</xdr:row>
      <xdr:rowOff>152400</xdr:rowOff>
    </xdr:to>
    <xdr:graphicFrame macro="">
      <xdr:nvGraphicFramePr>
        <xdr:cNvPr id="2" name="Chart 1">
          <a:extLst>
            <a:ext uri="{FF2B5EF4-FFF2-40B4-BE49-F238E27FC236}">
              <a16:creationId xmlns:a16="http://schemas.microsoft.com/office/drawing/2014/main" id="{A50597DD-4473-EC27-26E0-DD2CAC7232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942975</xdr:colOff>
      <xdr:row>9</xdr:row>
      <xdr:rowOff>180975</xdr:rowOff>
    </xdr:from>
    <xdr:to>
      <xdr:col>7</xdr:col>
      <xdr:colOff>542925</xdr:colOff>
      <xdr:row>23</xdr:row>
      <xdr:rowOff>38100</xdr:rowOff>
    </xdr:to>
    <mc:AlternateContent xmlns:mc="http://schemas.openxmlformats.org/markup-compatibility/2006">
      <mc:Choice xmlns:a14="http://schemas.microsoft.com/office/drawing/2010/main" Requires="a14">
        <xdr:graphicFrame macro="">
          <xdr:nvGraphicFramePr>
            <xdr:cNvPr id="3" name="Name">
              <a:extLst>
                <a:ext uri="{FF2B5EF4-FFF2-40B4-BE49-F238E27FC236}">
                  <a16:creationId xmlns:a16="http://schemas.microsoft.com/office/drawing/2014/main" id="{71A80F4A-0500-0155-7EBA-39D1EE1F952A}"/>
                </a:ext>
              </a:extLst>
            </xdr:cNvPr>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dr:sp macro="" textlink="">
          <xdr:nvSpPr>
            <xdr:cNvPr id="0" name=""/>
            <xdr:cNvSpPr>
              <a:spLocks noTextEdit="1"/>
            </xdr:cNvSpPr>
          </xdr:nvSpPr>
          <xdr:spPr>
            <a:xfrm>
              <a:off x="7219950" y="18954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vin Tran" refreshedDate="46123.79278773148" createdVersion="8" refreshedVersion="8" minRefreshableVersion="3" recordCount="32" xr:uid="{E48E2C3C-B5BF-4941-B23C-1BC791832A0B}">
  <cacheSource type="worksheet">
    <worksheetSource ref="A1:P1048576" sheet="Sheet1"/>
  </cacheSource>
  <cacheFields count="16">
    <cacheField name="ID" numFmtId="0">
      <sharedItems containsString="0" containsBlank="1" containsNumber="1" containsInteger="1" minValue="1" maxValue="4"/>
    </cacheField>
    <cacheField name="Start time" numFmtId="167">
      <sharedItems containsNonDate="0" containsDate="1" containsString="0" containsBlank="1" minDate="2026-04-10T13:56:51" maxDate="2026-04-10T17:44:26"/>
    </cacheField>
    <cacheField name="Completion time" numFmtId="0">
      <sharedItems containsNonDate="0" containsDate="1" containsString="0" containsBlank="1" minDate="2026-04-10T13:58:13" maxDate="2026-04-10T17:46:38"/>
    </cacheField>
    <cacheField name="Time to complete" numFmtId="0">
      <sharedItems containsNonDate="0" containsDate="1" containsString="0" containsBlank="1" minDate="1899-12-30T00:00:35" maxDate="1899-12-30T00:02:12"/>
    </cacheField>
    <cacheField name="Email" numFmtId="0">
      <sharedItems containsBlank="1"/>
    </cacheField>
    <cacheField name="Name" numFmtId="0">
      <sharedItems containsBlank="1" count="5">
        <s v="brandon carrillo-valencia"/>
        <s v="destiney lomeli"/>
        <s v="natalia miranda"/>
        <s v="jeremiah goode"/>
        <m/>
      </sharedItems>
    </cacheField>
    <cacheField name="Last modified time" numFmtId="0">
      <sharedItems containsNonDate="0" containsString="0" containsBlank="1"/>
    </cacheField>
    <cacheField name="How often do you visit Chick-fil-A" numFmtId="0">
      <sharedItems containsBlank="1" containsMixedTypes="1" containsNumber="1" containsInteger="1" minValue="4" maxValue="4"/>
    </cacheField>
    <cacheField name="How much do you spend per visit?" numFmtId="0">
      <sharedItems containsBlank="1"/>
    </cacheField>
    <cacheField name="Which ordering do you use most often?" numFmtId="0">
      <sharedItems containsBlank="1"/>
    </cacheField>
    <cacheField name="Which is your favorite menu item?" numFmtId="0">
      <sharedItems containsBlank="1" count="4">
        <s v="Chicken Sandwich"/>
        <s v="Waffle Fries"/>
        <s v="Nuggets"/>
        <m/>
      </sharedItems>
    </cacheField>
    <cacheField name="What type of rewards would motivate you to visit more often?" numFmtId="0">
      <sharedItems containsBlank="1"/>
    </cacheField>
    <cacheField name="How would you prefer to earn rewards?" numFmtId="0">
      <sharedItems containsBlank="1"/>
    </cacheField>
    <cacheField name="How appealing is a tiered loyalty program (Silver, Gold, Platinum)" numFmtId="0">
      <sharedItems containsBlank="1"/>
    </cacheField>
    <cacheField name="How satisfied are you with your overall experience?" numFmtId="0">
      <sharedItems containsBlank="1"/>
    </cacheField>
    <cacheField name="What is one thing we could do to improve your experience?" numFmtId="0">
      <sharedItems containsBlank="1"/>
    </cacheField>
  </cacheFields>
  <extLst>
    <ext xmlns:x14="http://schemas.microsoft.com/office/spreadsheetml/2009/9/main" uri="{725AE2AE-9491-48be-B2B4-4EB974FC3084}">
      <x14:pivotCacheDefinition pivotCacheId="3426479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
  <r>
    <n v="1"/>
    <d v="2026-04-10T13:56:51"/>
    <d v="2026-04-10T13:58:13"/>
    <d v="1899-12-30T00:01:22"/>
    <s v="bcarrillo-valencia@my.yearupunited.org"/>
    <x v="0"/>
    <m/>
    <s v="Monthly"/>
    <s v="$10-$20"/>
    <s v="Dine-in"/>
    <x v="0"/>
    <s v="Points toward future purchases"/>
    <s v="Points per dollar spent"/>
    <s v="Neutral"/>
    <s v="Satisfied"/>
    <s v="bathroom was dirty."/>
  </r>
  <r>
    <n v="2"/>
    <d v="2026-04-10T14:51:21"/>
    <d v="2026-04-10T14:52:31"/>
    <d v="1899-12-30T00:01:10"/>
    <s v="dlomeli@my.yearupunited.org"/>
    <x v="1"/>
    <m/>
    <s v="Monthly"/>
    <s v="$21-$30"/>
    <s v="Drive-Thru"/>
    <x v="1"/>
    <s v="Free Menu items"/>
    <s v="Points per dollar spent"/>
    <s v="Very appealing"/>
    <s v="Neutral"/>
    <m/>
  </r>
  <r>
    <n v="3"/>
    <d v="2026-04-10T14:57:31"/>
    <d v="2026-04-10T14:58:06"/>
    <d v="1899-12-30T00:00:35"/>
    <s v="nmiranda@my.yearupunited.org"/>
    <x v="2"/>
    <m/>
    <s v="Daily"/>
    <s v="$21-$30"/>
    <s v="Drive-Thru"/>
    <x v="1"/>
    <s v="Discounts"/>
    <s v="Points per dollar spent"/>
    <s v="Very appealing"/>
    <s v="Very satisfied"/>
    <m/>
  </r>
  <r>
    <n v="4"/>
    <d v="2026-04-10T17:44:26"/>
    <d v="2026-04-10T17:46:38"/>
    <d v="1899-12-30T00:02:12"/>
    <s v="jgoode@my.yearupunited.org"/>
    <x v="3"/>
    <m/>
    <s v="Monthly"/>
    <s v="Over $30"/>
    <s v="Drive-Thru"/>
    <x v="2"/>
    <s v="Points toward future purchases"/>
    <s v="Points per dollar spent"/>
    <s v="Neutral"/>
    <s v="Satisfied"/>
    <s v="Direct the traffic in the wait line better"/>
  </r>
  <r>
    <m/>
    <m/>
    <m/>
    <d v="1899-12-30T00:01:20"/>
    <m/>
    <x v="4"/>
    <m/>
    <n v="4"/>
    <m/>
    <m/>
    <x v="3"/>
    <m/>
    <m/>
    <m/>
    <m/>
    <m/>
  </r>
  <r>
    <m/>
    <m/>
    <m/>
    <m/>
    <m/>
    <x v="4"/>
    <m/>
    <m/>
    <m/>
    <m/>
    <x v="3"/>
    <m/>
    <m/>
    <m/>
    <m/>
    <m/>
  </r>
  <r>
    <m/>
    <m/>
    <m/>
    <m/>
    <m/>
    <x v="4"/>
    <m/>
    <m/>
    <m/>
    <m/>
    <x v="3"/>
    <m/>
    <m/>
    <m/>
    <m/>
    <m/>
  </r>
  <r>
    <m/>
    <m/>
    <m/>
    <m/>
    <m/>
    <x v="4"/>
    <m/>
    <m/>
    <m/>
    <m/>
    <x v="3"/>
    <m/>
    <m/>
    <m/>
    <m/>
    <m/>
  </r>
  <r>
    <m/>
    <m/>
    <m/>
    <m/>
    <m/>
    <x v="4"/>
    <m/>
    <m/>
    <m/>
    <m/>
    <x v="3"/>
    <m/>
    <m/>
    <m/>
    <m/>
    <m/>
  </r>
  <r>
    <m/>
    <m/>
    <m/>
    <m/>
    <m/>
    <x v="4"/>
    <m/>
    <m/>
    <m/>
    <m/>
    <x v="3"/>
    <m/>
    <m/>
    <m/>
    <m/>
    <m/>
  </r>
  <r>
    <m/>
    <m/>
    <m/>
    <m/>
    <m/>
    <x v="4"/>
    <m/>
    <m/>
    <m/>
    <m/>
    <x v="3"/>
    <m/>
    <m/>
    <m/>
    <m/>
    <m/>
  </r>
  <r>
    <m/>
    <m/>
    <m/>
    <m/>
    <m/>
    <x v="4"/>
    <m/>
    <m/>
    <m/>
    <m/>
    <x v="3"/>
    <m/>
    <m/>
    <m/>
    <m/>
    <m/>
  </r>
  <r>
    <m/>
    <m/>
    <m/>
    <m/>
    <m/>
    <x v="4"/>
    <m/>
    <m/>
    <m/>
    <m/>
    <x v="3"/>
    <m/>
    <m/>
    <m/>
    <m/>
    <m/>
  </r>
  <r>
    <m/>
    <m/>
    <m/>
    <m/>
    <m/>
    <x v="4"/>
    <m/>
    <m/>
    <m/>
    <m/>
    <x v="3"/>
    <m/>
    <m/>
    <m/>
    <m/>
    <m/>
  </r>
  <r>
    <m/>
    <m/>
    <m/>
    <m/>
    <m/>
    <x v="4"/>
    <m/>
    <m/>
    <m/>
    <m/>
    <x v="3"/>
    <m/>
    <m/>
    <m/>
    <m/>
    <m/>
  </r>
  <r>
    <m/>
    <m/>
    <m/>
    <m/>
    <m/>
    <x v="4"/>
    <m/>
    <m/>
    <m/>
    <m/>
    <x v="3"/>
    <m/>
    <m/>
    <m/>
    <m/>
    <m/>
  </r>
  <r>
    <m/>
    <m/>
    <m/>
    <m/>
    <m/>
    <x v="4"/>
    <m/>
    <m/>
    <m/>
    <m/>
    <x v="3"/>
    <m/>
    <m/>
    <m/>
    <m/>
    <m/>
  </r>
  <r>
    <m/>
    <m/>
    <m/>
    <m/>
    <m/>
    <x v="4"/>
    <m/>
    <m/>
    <m/>
    <m/>
    <x v="3"/>
    <m/>
    <m/>
    <m/>
    <m/>
    <m/>
  </r>
  <r>
    <m/>
    <m/>
    <m/>
    <m/>
    <m/>
    <x v="4"/>
    <m/>
    <m/>
    <m/>
    <m/>
    <x v="3"/>
    <m/>
    <m/>
    <m/>
    <m/>
    <m/>
  </r>
  <r>
    <m/>
    <m/>
    <m/>
    <m/>
    <m/>
    <x v="4"/>
    <m/>
    <m/>
    <m/>
    <m/>
    <x v="3"/>
    <m/>
    <m/>
    <m/>
    <m/>
    <m/>
  </r>
  <r>
    <m/>
    <m/>
    <m/>
    <m/>
    <m/>
    <x v="4"/>
    <m/>
    <m/>
    <m/>
    <m/>
    <x v="3"/>
    <m/>
    <m/>
    <m/>
    <m/>
    <m/>
  </r>
  <r>
    <m/>
    <m/>
    <m/>
    <m/>
    <m/>
    <x v="4"/>
    <m/>
    <m/>
    <m/>
    <m/>
    <x v="3"/>
    <m/>
    <m/>
    <m/>
    <m/>
    <m/>
  </r>
  <r>
    <m/>
    <m/>
    <m/>
    <m/>
    <m/>
    <x v="4"/>
    <m/>
    <m/>
    <m/>
    <m/>
    <x v="3"/>
    <m/>
    <m/>
    <m/>
    <m/>
    <m/>
  </r>
  <r>
    <m/>
    <m/>
    <m/>
    <m/>
    <m/>
    <x v="4"/>
    <m/>
    <m/>
    <m/>
    <m/>
    <x v="3"/>
    <m/>
    <m/>
    <m/>
    <m/>
    <m/>
  </r>
  <r>
    <m/>
    <m/>
    <m/>
    <m/>
    <m/>
    <x v="4"/>
    <m/>
    <m/>
    <m/>
    <m/>
    <x v="3"/>
    <m/>
    <m/>
    <m/>
    <m/>
    <m/>
  </r>
  <r>
    <m/>
    <m/>
    <m/>
    <m/>
    <m/>
    <x v="4"/>
    <m/>
    <m/>
    <m/>
    <m/>
    <x v="3"/>
    <m/>
    <m/>
    <m/>
    <m/>
    <m/>
  </r>
  <r>
    <m/>
    <m/>
    <m/>
    <m/>
    <m/>
    <x v="4"/>
    <m/>
    <m/>
    <m/>
    <m/>
    <x v="3"/>
    <m/>
    <m/>
    <m/>
    <m/>
    <m/>
  </r>
  <r>
    <m/>
    <m/>
    <m/>
    <m/>
    <m/>
    <x v="4"/>
    <m/>
    <m/>
    <m/>
    <m/>
    <x v="3"/>
    <m/>
    <m/>
    <m/>
    <m/>
    <m/>
  </r>
  <r>
    <m/>
    <m/>
    <m/>
    <m/>
    <m/>
    <x v="4"/>
    <m/>
    <m/>
    <m/>
    <m/>
    <x v="3"/>
    <m/>
    <m/>
    <m/>
    <m/>
    <m/>
  </r>
  <r>
    <m/>
    <m/>
    <m/>
    <m/>
    <m/>
    <x v="4"/>
    <m/>
    <m/>
    <m/>
    <m/>
    <x v="3"/>
    <m/>
    <m/>
    <m/>
    <m/>
    <m/>
  </r>
  <r>
    <m/>
    <m/>
    <m/>
    <m/>
    <m/>
    <x v="4"/>
    <m/>
    <m/>
    <m/>
    <m/>
    <x v="3"/>
    <m/>
    <m/>
    <m/>
    <m/>
    <m/>
  </r>
  <r>
    <m/>
    <m/>
    <m/>
    <m/>
    <m/>
    <x v="4"/>
    <m/>
    <m/>
    <m/>
    <m/>
    <x v="3"/>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9EA17FD-DBFC-47EE-862D-08A3C9E16F08}" name="PivotTable7"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G9" firstHeaderRow="1" firstDataRow="2" firstDataCol="1"/>
  <pivotFields count="16">
    <pivotField showAll="0"/>
    <pivotField showAll="0"/>
    <pivotField showAll="0"/>
    <pivotField showAll="0"/>
    <pivotField showAll="0"/>
    <pivotField axis="axisCol" showAll="0">
      <items count="6">
        <item x="0"/>
        <item x="1"/>
        <item x="3"/>
        <item x="2"/>
        <item x="4"/>
        <item t="default"/>
      </items>
    </pivotField>
    <pivotField showAll="0"/>
    <pivotField showAll="0"/>
    <pivotField showAll="0"/>
    <pivotField showAll="0"/>
    <pivotField axis="axisRow" dataField="1" showAll="0">
      <items count="5">
        <item x="0"/>
        <item x="2"/>
        <item x="1"/>
        <item x="3"/>
        <item t="default"/>
      </items>
    </pivotField>
    <pivotField showAll="0"/>
    <pivotField showAll="0"/>
    <pivotField showAll="0"/>
    <pivotField showAll="0"/>
    <pivotField showAll="0"/>
  </pivotFields>
  <rowFields count="1">
    <field x="10"/>
  </rowFields>
  <rowItems count="5">
    <i>
      <x/>
    </i>
    <i>
      <x v="1"/>
    </i>
    <i>
      <x v="2"/>
    </i>
    <i>
      <x v="3"/>
    </i>
    <i t="grand">
      <x/>
    </i>
  </rowItems>
  <colFields count="1">
    <field x="5"/>
  </colFields>
  <colItems count="6">
    <i>
      <x/>
    </i>
    <i>
      <x v="1"/>
    </i>
    <i>
      <x v="2"/>
    </i>
    <i>
      <x v="3"/>
    </i>
    <i>
      <x v="4"/>
    </i>
    <i t="grand">
      <x/>
    </i>
  </colItems>
  <dataFields count="1">
    <dataField name="Count of Which is your favorite menu item?" fld="10" subtotal="count" baseField="0" baseItem="0"/>
  </dataFields>
  <chartFormats count="13">
    <chartFormat chart="0" format="8" series="1">
      <pivotArea type="data" outline="0" fieldPosition="0">
        <references count="1">
          <reference field="10" count="1" selected="0">
            <x v="0"/>
          </reference>
        </references>
      </pivotArea>
    </chartFormat>
    <chartFormat chart="0" format="9" series="1">
      <pivotArea type="data" outline="0" fieldPosition="0">
        <references count="1">
          <reference field="10" count="1" selected="0">
            <x v="1"/>
          </reference>
        </references>
      </pivotArea>
    </chartFormat>
    <chartFormat chart="0" format="10" series="1">
      <pivotArea type="data" outline="0" fieldPosition="0">
        <references count="1">
          <reference field="10" count="1" selected="0">
            <x v="2"/>
          </reference>
        </references>
      </pivotArea>
    </chartFormat>
    <chartFormat chart="0" format="11" series="1">
      <pivotArea type="data" outline="0" fieldPosition="0">
        <references count="1">
          <reference field="10" count="1" selected="0">
            <x v="3"/>
          </reference>
        </references>
      </pivotArea>
    </chartFormat>
    <chartFormat chart="0" format="12" series="1">
      <pivotArea type="data" outline="0" fieldPosition="0">
        <references count="1">
          <reference field="5" count="1" selected="0">
            <x v="0"/>
          </reference>
        </references>
      </pivotArea>
    </chartFormat>
    <chartFormat chart="0" format="13" series="1">
      <pivotArea type="data" outline="0" fieldPosition="0">
        <references count="1">
          <reference field="5" count="1" selected="0">
            <x v="1"/>
          </reference>
        </references>
      </pivotArea>
    </chartFormat>
    <chartFormat chart="0" format="14" series="1">
      <pivotArea type="data" outline="0" fieldPosition="0">
        <references count="1">
          <reference field="5" count="1" selected="0">
            <x v="2"/>
          </reference>
        </references>
      </pivotArea>
    </chartFormat>
    <chartFormat chart="0" format="15" series="1">
      <pivotArea type="data" outline="0" fieldPosition="0">
        <references count="1">
          <reference field="5" count="1" selected="0">
            <x v="3"/>
          </reference>
        </references>
      </pivotArea>
    </chartFormat>
    <chartFormat chart="0" format="16" series="1">
      <pivotArea type="data" outline="0" fieldPosition="0">
        <references count="1">
          <reference field="5" count="1" selected="0">
            <x v="4"/>
          </reference>
        </references>
      </pivotArea>
    </chartFormat>
    <chartFormat chart="0" format="17" series="1">
      <pivotArea type="data" outline="0" fieldPosition="0">
        <references count="2">
          <reference field="4294967294" count="1" selected="0">
            <x v="0"/>
          </reference>
          <reference field="5" count="1" selected="0">
            <x v="1"/>
          </reference>
        </references>
      </pivotArea>
    </chartFormat>
    <chartFormat chart="0" format="18" series="1">
      <pivotArea type="data" outline="0" fieldPosition="0">
        <references count="2">
          <reference field="4294967294" count="1" selected="0">
            <x v="0"/>
          </reference>
          <reference field="5" count="1" selected="0">
            <x v="2"/>
          </reference>
        </references>
      </pivotArea>
    </chartFormat>
    <chartFormat chart="0" format="19" series="1">
      <pivotArea type="data" outline="0" fieldPosition="0">
        <references count="2">
          <reference field="4294967294" count="1" selected="0">
            <x v="0"/>
          </reference>
          <reference field="5" count="1" selected="0">
            <x v="3"/>
          </reference>
        </references>
      </pivotArea>
    </chartFormat>
    <chartFormat chart="0" format="20" series="1">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B5B768D6-30F8-4534-8FA3-E117DFE49264}" sourceName="Name">
  <pivotTables>
    <pivotTable tabId="2" name="PivotTable7"/>
  </pivotTables>
  <data>
    <tabular pivotCacheId="342647963">
      <items count="5">
        <i x="0" s="1"/>
        <i x="1" s="1"/>
        <i x="3" s="1"/>
        <i x="2" s="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xr10:uid="{039B9A0E-A781-4596-AFC8-9FE820B1DBAB}" cache="Slicer_Name" caption="Nam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P6" totalsRowCount="1">
  <autoFilter ref="A1:P5" xr:uid="{00000000-0009-0000-0100-000001000000}"/>
  <tableColumns count="16">
    <tableColumn id="1" xr3:uid="{00000000-0010-0000-0000-000001000000}" name="ID" dataDxfId="19" totalsRowDxfId="15"/>
    <tableColumn id="2" xr3:uid="{00000000-0010-0000-0000-000002000000}" name="Start time" dataDxfId="18" totalsRowDxfId="14"/>
    <tableColumn id="3" xr3:uid="{00000000-0010-0000-0000-000003000000}" name="Completion time" dataDxfId="17" totalsRowDxfId="13"/>
    <tableColumn id="16" xr3:uid="{0EE4F639-39D4-4644-80CE-12E665E6CA8A}" name="Time to complete" totalsRowFunction="custom" dataDxfId="16" totalsRowDxfId="12">
      <calculatedColumnFormula>C2-B2</calculatedColumnFormula>
      <totalsRowFormula>AVERAGE(D2:D5)</totalsRowFormula>
    </tableColumn>
    <tableColumn id="4" xr3:uid="{00000000-0010-0000-0000-000004000000}" name="Email" dataDxfId="31" totalsRowDxfId="11"/>
    <tableColumn id="5" xr3:uid="{00000000-0010-0000-0000-000005000000}" name="Name" dataDxfId="30" totalsRowDxfId="10"/>
    <tableColumn id="6" xr3:uid="{00000000-0010-0000-0000-000006000000}" name="Last modified time" dataDxfId="29" totalsRowDxfId="9"/>
    <tableColumn id="7" xr3:uid="{00000000-0010-0000-0000-000007000000}" name="How often do you visit Chick-fil-A" totalsRowFunction="custom" dataDxfId="28" totalsRowDxfId="8">
      <totalsRowFormula>SUM(COUNTIF(Table1[How often do you visit Chick-fil-A], "Monthly"), COUNTIF(Table1[How often do you visit Chick-fil-A], "Daily"))</totalsRowFormula>
    </tableColumn>
    <tableColumn id="8" xr3:uid="{00000000-0010-0000-0000-000008000000}" name="How much do you spend per visit?" dataDxfId="27" totalsRowDxfId="7"/>
    <tableColumn id="9" xr3:uid="{00000000-0010-0000-0000-000009000000}" name="Which ordering do you use most often?" dataDxfId="26" totalsRowDxfId="6"/>
    <tableColumn id="10" xr3:uid="{00000000-0010-0000-0000-00000A000000}" name="Which is your favorite menu item?" dataDxfId="25" totalsRowDxfId="5"/>
    <tableColumn id="11" xr3:uid="{00000000-0010-0000-0000-00000B000000}" name="What type of rewards would motivate you to visit more often?" dataDxfId="24" totalsRowDxfId="4"/>
    <tableColumn id="12" xr3:uid="{00000000-0010-0000-0000-00000C000000}" name="How would you prefer to earn rewards?" dataDxfId="23" totalsRowDxfId="3"/>
    <tableColumn id="13" xr3:uid="{00000000-0010-0000-0000-00000D000000}" name="How appealing is a tiered loyalty program (Silver, Gold, Platinum)" dataDxfId="22" totalsRowDxfId="2"/>
    <tableColumn id="14" xr3:uid="{00000000-0010-0000-0000-00000E000000}" name="How satisfied are you with your overall experience?" dataDxfId="21" totalsRowDxfId="1"/>
    <tableColumn id="15" xr3:uid="{00000000-0010-0000-0000-00000F000000}" name="What is one thing we could do to improve your experience?" dataDxfId="20" totalsRow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D4142-FC49-46F5-8C8E-84DB7079A868}">
  <dimension ref="A3:G9"/>
  <sheetViews>
    <sheetView workbookViewId="0">
      <selection activeCell="H28" sqref="H28"/>
    </sheetView>
  </sheetViews>
  <sheetFormatPr defaultRowHeight="15" x14ac:dyDescent="0.25"/>
  <cols>
    <col min="1" max="1" width="40.5703125" bestFit="1" customWidth="1"/>
    <col min="2" max="2" width="23.42578125" bestFit="1" customWidth="1"/>
    <col min="3" max="3" width="15" bestFit="1" customWidth="1"/>
    <col min="4" max="4" width="15.140625" bestFit="1" customWidth="1"/>
    <col min="5" max="5" width="14.85546875" bestFit="1" customWidth="1"/>
    <col min="6" max="6" width="7.28515625" bestFit="1" customWidth="1"/>
    <col min="7" max="7" width="11.28515625" bestFit="1" customWidth="1"/>
    <col min="8" max="8" width="9.140625" bestFit="1" customWidth="1"/>
    <col min="9" max="9" width="12.140625" bestFit="1" customWidth="1"/>
    <col min="10" max="10" width="11.28515625" bestFit="1" customWidth="1"/>
    <col min="11" max="11" width="12.140625" bestFit="1" customWidth="1"/>
    <col min="12" max="12" width="11.28515625" bestFit="1" customWidth="1"/>
  </cols>
  <sheetData>
    <row r="3" spans="1:7" x14ac:dyDescent="0.25">
      <c r="A3" s="5" t="s">
        <v>48</v>
      </c>
      <c r="B3" s="5" t="s">
        <v>47</v>
      </c>
    </row>
    <row r="4" spans="1:7" x14ac:dyDescent="0.25">
      <c r="A4" s="5" t="s">
        <v>44</v>
      </c>
      <c r="B4" t="s">
        <v>16</v>
      </c>
      <c r="C4" t="s">
        <v>27</v>
      </c>
      <c r="D4" t="s">
        <v>39</v>
      </c>
      <c r="E4" t="s">
        <v>34</v>
      </c>
      <c r="F4" t="s">
        <v>45</v>
      </c>
      <c r="G4" t="s">
        <v>46</v>
      </c>
    </row>
    <row r="5" spans="1:7" x14ac:dyDescent="0.25">
      <c r="A5" s="6" t="s">
        <v>20</v>
      </c>
      <c r="B5" s="2">
        <v>1</v>
      </c>
      <c r="C5" s="2"/>
      <c r="D5" s="2"/>
      <c r="E5" s="2"/>
      <c r="F5" s="2"/>
      <c r="G5" s="2">
        <v>1</v>
      </c>
    </row>
    <row r="6" spans="1:7" x14ac:dyDescent="0.25">
      <c r="A6" s="6" t="s">
        <v>41</v>
      </c>
      <c r="B6" s="2"/>
      <c r="C6" s="2"/>
      <c r="D6" s="2">
        <v>1</v>
      </c>
      <c r="E6" s="2"/>
      <c r="F6" s="2"/>
      <c r="G6" s="2">
        <v>1</v>
      </c>
    </row>
    <row r="7" spans="1:7" x14ac:dyDescent="0.25">
      <c r="A7" s="6" t="s">
        <v>30</v>
      </c>
      <c r="B7" s="2"/>
      <c r="C7" s="2">
        <v>1</v>
      </c>
      <c r="D7" s="2"/>
      <c r="E7" s="2">
        <v>1</v>
      </c>
      <c r="F7" s="2"/>
      <c r="G7" s="2">
        <v>2</v>
      </c>
    </row>
    <row r="8" spans="1:7" x14ac:dyDescent="0.25">
      <c r="A8" s="6" t="s">
        <v>45</v>
      </c>
      <c r="B8" s="2"/>
      <c r="C8" s="2"/>
      <c r="D8" s="2"/>
      <c r="E8" s="2"/>
      <c r="F8" s="2"/>
      <c r="G8" s="2"/>
    </row>
    <row r="9" spans="1:7" x14ac:dyDescent="0.25">
      <c r="A9" s="6" t="s">
        <v>46</v>
      </c>
      <c r="B9" s="2">
        <v>1</v>
      </c>
      <c r="C9" s="2">
        <v>1</v>
      </c>
      <c r="D9" s="2">
        <v>1</v>
      </c>
      <c r="E9" s="2">
        <v>1</v>
      </c>
      <c r="F9" s="2"/>
      <c r="G9" s="2">
        <v>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2"/>
  <sheetViews>
    <sheetView tabSelected="1" topLeftCell="F1" workbookViewId="0">
      <selection activeCell="E28" sqref="E28"/>
    </sheetView>
  </sheetViews>
  <sheetFormatPr defaultRowHeight="15" x14ac:dyDescent="0.25"/>
  <cols>
    <col min="1" max="1" width="20" bestFit="1" customWidth="1"/>
    <col min="2" max="2" width="20" style="3" bestFit="1" customWidth="1"/>
    <col min="3" max="3" width="32.140625" bestFit="1" customWidth="1"/>
    <col min="4" max="4" width="39.5703125" style="4" bestFit="1" customWidth="1"/>
    <col min="5" max="5" width="37.7109375" bestFit="1" customWidth="1"/>
    <col min="6" max="7" width="23.42578125" bestFit="1" customWidth="1"/>
    <col min="8" max="9" width="40.5703125" bestFit="1" customWidth="1"/>
    <col min="10" max="10" width="14.85546875" bestFit="1" customWidth="1"/>
    <col min="11" max="11" width="34.5703125" bestFit="1" customWidth="1"/>
    <col min="12" max="12" width="20" bestFit="1" customWidth="1"/>
    <col min="13" max="13" width="40.5703125" bestFit="1" customWidth="1"/>
    <col min="14" max="16" width="17" bestFit="1" customWidth="1"/>
    <col min="17" max="17" width="11.28515625" bestFit="1" customWidth="1"/>
  </cols>
  <sheetData>
    <row r="1" spans="1:16" x14ac:dyDescent="0.25">
      <c r="A1" t="s">
        <v>0</v>
      </c>
      <c r="B1" s="3" t="s">
        <v>1</v>
      </c>
      <c r="C1" t="s">
        <v>2</v>
      </c>
      <c r="D1" s="4" t="s">
        <v>43</v>
      </c>
      <c r="E1" t="s">
        <v>3</v>
      </c>
      <c r="F1" t="s">
        <v>4</v>
      </c>
      <c r="G1" t="s">
        <v>5</v>
      </c>
      <c r="H1" t="s">
        <v>6</v>
      </c>
      <c r="I1" t="s">
        <v>7</v>
      </c>
      <c r="J1" t="s">
        <v>8</v>
      </c>
      <c r="K1" t="s">
        <v>9</v>
      </c>
      <c r="L1" t="s">
        <v>10</v>
      </c>
      <c r="M1" t="s">
        <v>11</v>
      </c>
      <c r="N1" t="s">
        <v>12</v>
      </c>
      <c r="O1" t="s">
        <v>13</v>
      </c>
      <c r="P1" t="s">
        <v>14</v>
      </c>
    </row>
    <row r="2" spans="1:16" x14ac:dyDescent="0.25">
      <c r="A2">
        <v>1</v>
      </c>
      <c r="B2" s="3">
        <v>46122.581145833297</v>
      </c>
      <c r="C2" s="3">
        <v>46122.582094907397</v>
      </c>
      <c r="D2" s="4">
        <f t="shared" ref="D2:D5" si="0">C2-B2</f>
        <v>9.4907409948064014E-4</v>
      </c>
      <c r="E2" t="s">
        <v>15</v>
      </c>
      <c r="F2" t="s">
        <v>16</v>
      </c>
      <c r="G2" s="1"/>
      <c r="H2" t="s">
        <v>17</v>
      </c>
      <c r="I2" t="s">
        <v>18</v>
      </c>
      <c r="J2" t="s">
        <v>19</v>
      </c>
      <c r="K2" t="s">
        <v>20</v>
      </c>
      <c r="L2" t="s">
        <v>21</v>
      </c>
      <c r="M2" t="s">
        <v>22</v>
      </c>
      <c r="N2" t="s">
        <v>23</v>
      </c>
      <c r="O2" t="s">
        <v>24</v>
      </c>
      <c r="P2" t="s">
        <v>25</v>
      </c>
    </row>
    <row r="3" spans="1:16" x14ac:dyDescent="0.25">
      <c r="A3">
        <v>2</v>
      </c>
      <c r="B3" s="3">
        <v>46122.618993055599</v>
      </c>
      <c r="C3" s="3">
        <v>46122.619803240697</v>
      </c>
      <c r="D3" s="4">
        <f t="shared" si="0"/>
        <v>8.1018509808927774E-4</v>
      </c>
      <c r="E3" t="s">
        <v>26</v>
      </c>
      <c r="F3" t="s">
        <v>27</v>
      </c>
      <c r="G3" s="1"/>
      <c r="H3" t="s">
        <v>17</v>
      </c>
      <c r="I3" t="s">
        <v>28</v>
      </c>
      <c r="J3" t="s">
        <v>29</v>
      </c>
      <c r="K3" t="s">
        <v>30</v>
      </c>
      <c r="L3" t="s">
        <v>31</v>
      </c>
      <c r="M3" t="s">
        <v>22</v>
      </c>
      <c r="N3" t="s">
        <v>32</v>
      </c>
      <c r="O3" t="s">
        <v>23</v>
      </c>
    </row>
    <row r="4" spans="1:16" x14ac:dyDescent="0.25">
      <c r="A4">
        <v>3</v>
      </c>
      <c r="B4" s="3">
        <v>46122.623275462996</v>
      </c>
      <c r="C4" s="3">
        <v>46122.623680555596</v>
      </c>
      <c r="D4" s="4">
        <f t="shared" si="0"/>
        <v>4.0509259997634217E-4</v>
      </c>
      <c r="E4" t="s">
        <v>33</v>
      </c>
      <c r="F4" t="s">
        <v>34</v>
      </c>
      <c r="G4" s="1"/>
      <c r="H4" t="s">
        <v>35</v>
      </c>
      <c r="I4" t="s">
        <v>28</v>
      </c>
      <c r="J4" t="s">
        <v>29</v>
      </c>
      <c r="K4" t="s">
        <v>30</v>
      </c>
      <c r="L4" t="s">
        <v>36</v>
      </c>
      <c r="M4" t="s">
        <v>22</v>
      </c>
      <c r="N4" t="s">
        <v>32</v>
      </c>
      <c r="O4" t="s">
        <v>37</v>
      </c>
    </row>
    <row r="5" spans="1:16" x14ac:dyDescent="0.25">
      <c r="A5">
        <v>4</v>
      </c>
      <c r="B5" s="3">
        <v>46122.739189814798</v>
      </c>
      <c r="C5" s="3">
        <v>46122.740717592598</v>
      </c>
      <c r="D5" s="4">
        <f t="shared" si="0"/>
        <v>1.5277778002200648E-3</v>
      </c>
      <c r="E5" t="s">
        <v>38</v>
      </c>
      <c r="F5" t="s">
        <v>39</v>
      </c>
      <c r="G5" s="1"/>
      <c r="H5" t="s">
        <v>17</v>
      </c>
      <c r="I5" t="s">
        <v>40</v>
      </c>
      <c r="J5" t="s">
        <v>29</v>
      </c>
      <c r="K5" t="s">
        <v>41</v>
      </c>
      <c r="L5" t="s">
        <v>21</v>
      </c>
      <c r="M5" t="s">
        <v>22</v>
      </c>
      <c r="N5" t="s">
        <v>23</v>
      </c>
      <c r="O5" t="s">
        <v>24</v>
      </c>
      <c r="P5" t="s">
        <v>42</v>
      </c>
    </row>
    <row r="6" spans="1:16" x14ac:dyDescent="0.25">
      <c r="A6" s="2"/>
      <c r="C6" s="3"/>
      <c r="D6" s="4">
        <f>AVERAGE(D2:D5)</f>
        <v>9.2303239944158122E-4</v>
      </c>
      <c r="E6" s="2"/>
      <c r="F6" s="2"/>
      <c r="G6" s="1"/>
      <c r="H6" s="2">
        <f>SUM(COUNTIF(Table1[How often do you visit Chick-fil-A], "Monthly"), COUNTIF(Table1[How often do you visit Chick-fil-A], "Daily"))</f>
        <v>4</v>
      </c>
      <c r="I6" s="2"/>
      <c r="J6" s="2"/>
      <c r="K6" s="2"/>
      <c r="L6" s="2"/>
      <c r="M6" s="2"/>
      <c r="N6" s="2"/>
      <c r="O6" s="2"/>
      <c r="P6" s="2"/>
    </row>
    <row r="13" spans="1:16" x14ac:dyDescent="0.25">
      <c r="D13"/>
    </row>
    <row r="15" spans="1:16" x14ac:dyDescent="0.25">
      <c r="D15"/>
    </row>
    <row r="16" spans="1:16" x14ac:dyDescent="0.25">
      <c r="D16"/>
    </row>
    <row r="17" spans="4:4" x14ac:dyDescent="0.25">
      <c r="D17"/>
    </row>
    <row r="18" spans="4:4" x14ac:dyDescent="0.25">
      <c r="D18"/>
    </row>
    <row r="19" spans="4:4" x14ac:dyDescent="0.25">
      <c r="D19"/>
    </row>
    <row r="20" spans="4:4" x14ac:dyDescent="0.25">
      <c r="D20"/>
    </row>
    <row r="21" spans="4:4" x14ac:dyDescent="0.25">
      <c r="D21"/>
    </row>
    <row r="22" spans="4:4" x14ac:dyDescent="0.25">
      <c r="D22"/>
    </row>
    <row r="23" spans="4:4" x14ac:dyDescent="0.25">
      <c r="D23"/>
    </row>
    <row r="24" spans="4:4" x14ac:dyDescent="0.25">
      <c r="D24"/>
    </row>
    <row r="25" spans="4:4" x14ac:dyDescent="0.25">
      <c r="D25"/>
    </row>
    <row r="26" spans="4:4" x14ac:dyDescent="0.25">
      <c r="D26"/>
    </row>
    <row r="27" spans="4:4" x14ac:dyDescent="0.25">
      <c r="D27"/>
    </row>
    <row r="28" spans="4:4" x14ac:dyDescent="0.25">
      <c r="D28"/>
    </row>
    <row r="29" spans="4:4" x14ac:dyDescent="0.25">
      <c r="D29"/>
    </row>
    <row r="30" spans="4:4" x14ac:dyDescent="0.25">
      <c r="D30"/>
    </row>
    <row r="31" spans="4:4" x14ac:dyDescent="0.25">
      <c r="D31"/>
    </row>
    <row r="32" spans="4:4" x14ac:dyDescent="0.25">
      <c r="D32"/>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Kevin Tran</dc:creator>
  <cp:lastModifiedBy>kevin tran</cp:lastModifiedBy>
  <dcterms:created xsi:type="dcterms:W3CDTF">2026-04-12T01:27:51Z</dcterms:created>
  <dcterms:modified xsi:type="dcterms:W3CDTF">2026-04-12T02:07:56Z</dcterms:modified>
</cp:coreProperties>
</file>